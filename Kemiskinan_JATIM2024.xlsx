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14" documentId="8_{7AC71244-D073-4C4B-90C4-E07D2950D5DE}" xr6:coauthVersionLast="47" xr6:coauthVersionMax="47" xr10:uidLastSave="{458817A7-7213-4F9A-82F1-D463DEF770AD}"/>
  <bookViews>
    <workbookView xWindow="-110" yWindow="-110" windowWidth="19420" windowHeight="10300" xr2:uid="{6574DCAE-3067-48B2-8A53-FCB0A90C3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F4" i="1"/>
  <c r="E4" i="1"/>
  <c r="C48" i="1" l="1"/>
  <c r="C47" i="1"/>
  <c r="C46" i="1"/>
  <c r="C45" i="1"/>
  <c r="C44" i="1"/>
  <c r="C6" i="1"/>
  <c r="C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</calcChain>
</file>

<file path=xl/sharedStrings.xml><?xml version="1.0" encoding="utf-8"?>
<sst xmlns="http://schemas.openxmlformats.org/spreadsheetml/2006/main" count="53" uniqueCount="39">
  <si>
    <t>Jumlah Kemiskinan di Jawa Timur Tahun 2024</t>
  </si>
  <si>
    <t>Sampang</t>
  </si>
  <si>
    <t>Bangkalan</t>
  </si>
  <si>
    <t>Sumenep</t>
  </si>
  <si>
    <t>Probolinggo</t>
  </si>
  <si>
    <t>Tuban</t>
  </si>
  <si>
    <t>Ngawi</t>
  </si>
  <si>
    <t>Pamekasan</t>
  </si>
  <si>
    <t>Pacitan</t>
  </si>
  <si>
    <t>Bondowoso</t>
  </si>
  <si>
    <t>Lamongan</t>
  </si>
  <si>
    <t>Bojonegoro</t>
  </si>
  <si>
    <t>Situbondo</t>
  </si>
  <si>
    <t>Madiun</t>
  </si>
  <si>
    <t>Trenggalek</t>
  </si>
  <si>
    <t>Gresik</t>
  </si>
  <si>
    <t>Nganjuk</t>
  </si>
  <si>
    <t>Kediri</t>
  </si>
  <si>
    <t>Mojokerto</t>
  </si>
  <si>
    <t>Magetan</t>
  </si>
  <si>
    <t>Ponorogo</t>
  </si>
  <si>
    <t>Jember</t>
  </si>
  <si>
    <t>Malang</t>
  </si>
  <si>
    <t>Lumajang</t>
  </si>
  <si>
    <t xml:space="preserve">Pasuruan </t>
  </si>
  <si>
    <t>Jombang</t>
  </si>
  <si>
    <t>Blitar</t>
  </si>
  <si>
    <t>Banyuwangi</t>
  </si>
  <si>
    <t>Pasuruan</t>
  </si>
  <si>
    <t>Tulungagung</t>
  </si>
  <si>
    <t>Sidoarjo</t>
  </si>
  <si>
    <t>Surabaya</t>
  </si>
  <si>
    <t>Batu</t>
  </si>
  <si>
    <t>Kabupaten/
Kota</t>
  </si>
  <si>
    <t>Persentase 
Kemiskinan</t>
  </si>
  <si>
    <t>Ranking 
Daerah</t>
  </si>
  <si>
    <t>Rata-rata
 Kemiskinan</t>
  </si>
  <si>
    <t>Nilai 
Tertinggi</t>
  </si>
  <si>
    <t>Nilai 
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</si>
</sst>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43" fontId="3" fillId="0" borderId="1" xfId="1" applyFont="1" applyBorder="1"/>
    <xf numFmtId="2" fontId="3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b="1"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Timur Tahun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5"/>
                <c:pt idx="0">
                  <c:v>20.83</c:v>
                </c:pt>
                <c:pt idx="1">
                  <c:v>18.66</c:v>
                </c:pt>
                <c:pt idx="2">
                  <c:v>17.78</c:v>
                </c:pt>
                <c:pt idx="3">
                  <c:v>16.45</c:v>
                </c:pt>
                <c:pt idx="4">
                  <c:v>14.36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1-4566-BF84-AC3AAE04B33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1-4566-BF84-AC3AAE04B3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141519"/>
        <c:axId val="243888623"/>
      </c:barChart>
      <c:catAx>
        <c:axId val="3271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3888623"/>
        <c:crosses val="autoZero"/>
        <c:auto val="1"/>
        <c:lblAlgn val="ctr"/>
        <c:lblOffset val="100"/>
        <c:noMultiLvlLbl val="0"/>
      </c:catAx>
      <c:valAx>
        <c:axId val="2438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1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b="1"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Timur Tahun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Surabaya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Sheet1!$B$44:$B$48</c:f>
              <c:numCache>
                <c:formatCode>0.00</c:formatCode>
                <c:ptCount val="5"/>
                <c:pt idx="0">
                  <c:v>4.53</c:v>
                </c:pt>
                <c:pt idx="1">
                  <c:v>4.38</c:v>
                </c:pt>
                <c:pt idx="2">
                  <c:v>3.96</c:v>
                </c:pt>
                <c:pt idx="3">
                  <c:v>3.91</c:v>
                </c:pt>
                <c:pt idx="4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A-4184-B904-0C6DB607587B}"/>
            </c:ext>
          </c:extLst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Surabaya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A-4184-B904-0C6DB6075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3049471"/>
        <c:axId val="243907823"/>
      </c:barChart>
      <c:catAx>
        <c:axId val="51304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3907823"/>
        <c:crosses val="autoZero"/>
        <c:auto val="1"/>
        <c:lblAlgn val="ctr"/>
        <c:lblOffset val="100"/>
        <c:noMultiLvlLbl val="0"/>
      </c:catAx>
      <c:valAx>
        <c:axId val="2439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304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28413</xdr:colOff>
      <xdr:row>49</xdr:row>
      <xdr:rowOff>38100</xdr:rowOff>
    </xdr:from>
    <xdr:to>
      <xdr:col>5</xdr:col>
      <xdr:colOff>749300</xdr:colOff>
      <xdr:row>67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8A1803-62A3-95B7-0936-047CF19B0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19411</xdr:colOff>
      <xdr:row>68</xdr:row>
      <xdr:rowOff>50799</xdr:rowOff>
    </xdr:from>
    <xdr:to>
      <xdr:col>5</xdr:col>
      <xdr:colOff>736600</xdr:colOff>
      <xdr:row>85</xdr:row>
      <xdr:rowOff>72092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3F71AB-075D-0E88-6AA1-CE71B48AE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432E-95B5-4392-9795-F44C184CF5B5}">
  <dimension ref="A1:F48"/>
  <sheetViews>
    <sheetView tabSelected="1" topLeftCell="A79" zoomScaleNormal="100" workbookViewId="0">
      <selection activeCell="H68" sqref="H68"/>
    </sheetView>
  </sheetViews>
  <sheetFormatPr defaultRowHeight="14.5" x14ac:dyDescent="0.35"/>
  <cols>
    <col min="1" max="1" width="14.36328125" customWidth="1"/>
    <col min="2" max="2" width="16.1796875" customWidth="1"/>
    <col min="3" max="3" width="14.90625" customWidth="1"/>
    <col min="4" max="4" width="16.26953125" customWidth="1"/>
    <col min="5" max="5" width="11.36328125" customWidth="1"/>
    <col min="6" max="6" width="12.08984375" customWidth="1"/>
    <col min="7" max="7" width="16.26953125" bestFit="1" customWidth="1"/>
  </cols>
  <sheetData>
    <row r="1" spans="1:6" ht="17.5" x14ac:dyDescent="0.35">
      <c r="A1" s="1" t="s">
        <v>0</v>
      </c>
      <c r="B1" s="2"/>
      <c r="C1" s="3"/>
    </row>
    <row r="2" spans="1:6" ht="15.5" x14ac:dyDescent="0.35">
      <c r="A2" s="4"/>
      <c r="B2" s="2"/>
      <c r="C2" s="3"/>
    </row>
    <row r="3" spans="1:6" ht="30.5" x14ac:dyDescent="0.35">
      <c r="A3" s="9" t="s">
        <v>33</v>
      </c>
      <c r="B3" s="10" t="s">
        <v>34</v>
      </c>
      <c r="C3" s="11" t="s">
        <v>35</v>
      </c>
      <c r="D3" s="11" t="s">
        <v>36</v>
      </c>
      <c r="E3" s="11" t="s">
        <v>37</v>
      </c>
      <c r="F3" s="11" t="s">
        <v>38</v>
      </c>
    </row>
    <row r="4" spans="1:6" ht="15.5" x14ac:dyDescent="0.35">
      <c r="A4" s="5" t="s">
        <v>1</v>
      </c>
      <c r="B4" s="8">
        <v>20.83</v>
      </c>
      <c r="C4" s="5">
        <f>RANK(B4,$B$4:$B$41,0)</f>
        <v>1</v>
      </c>
      <c r="D4" s="7">
        <f>AVERAGE($B$4:$B$41)</f>
        <v>9.7823684210526292</v>
      </c>
      <c r="E4" s="6">
        <f>MAX($B$4:$B$41)</f>
        <v>20.83</v>
      </c>
      <c r="F4" s="6">
        <f>MIN($B$4:$B$41)</f>
        <v>3.06</v>
      </c>
    </row>
    <row r="5" spans="1:6" ht="15.5" x14ac:dyDescent="0.35">
      <c r="A5" s="5" t="s">
        <v>2</v>
      </c>
      <c r="B5" s="8">
        <v>18.66</v>
      </c>
      <c r="C5" s="5">
        <f t="shared" ref="C5:C41" si="0">RANK(B5,$B$4:$B$41,0)</f>
        <v>2</v>
      </c>
      <c r="D5" s="5"/>
      <c r="E5" s="5"/>
      <c r="F5" s="5"/>
    </row>
    <row r="6" spans="1:6" ht="15.5" x14ac:dyDescent="0.35">
      <c r="A6" s="5" t="s">
        <v>3</v>
      </c>
      <c r="B6" s="8">
        <v>17.78</v>
      </c>
      <c r="C6" s="5">
        <f t="shared" si="0"/>
        <v>3</v>
      </c>
      <c r="D6" s="5"/>
      <c r="E6" s="5"/>
      <c r="F6" s="5"/>
    </row>
    <row r="7" spans="1:6" ht="15.5" x14ac:dyDescent="0.35">
      <c r="A7" s="5" t="s">
        <v>4</v>
      </c>
      <c r="B7" s="8">
        <v>16.45</v>
      </c>
      <c r="C7" s="5">
        <f t="shared" si="0"/>
        <v>4</v>
      </c>
      <c r="D7" s="5"/>
      <c r="E7" s="5"/>
      <c r="F7" s="5"/>
    </row>
    <row r="8" spans="1:6" ht="15.5" x14ac:dyDescent="0.35">
      <c r="A8" s="5" t="s">
        <v>5</v>
      </c>
      <c r="B8" s="8">
        <v>14.36</v>
      </c>
      <c r="C8" s="5">
        <f t="shared" si="0"/>
        <v>5</v>
      </c>
      <c r="D8" s="5"/>
      <c r="E8" s="5"/>
      <c r="F8" s="5"/>
    </row>
    <row r="9" spans="1:6" ht="15.5" x14ac:dyDescent="0.35">
      <c r="A9" s="5" t="s">
        <v>6</v>
      </c>
      <c r="B9" s="8">
        <v>13.81</v>
      </c>
      <c r="C9" s="5">
        <f t="shared" si="0"/>
        <v>6</v>
      </c>
      <c r="D9" s="5"/>
      <c r="E9" s="5"/>
      <c r="F9" s="5"/>
    </row>
    <row r="10" spans="1:6" ht="15.5" x14ac:dyDescent="0.35">
      <c r="A10" s="5" t="s">
        <v>7</v>
      </c>
      <c r="B10" s="8">
        <v>13.41</v>
      </c>
      <c r="C10" s="5">
        <f t="shared" si="0"/>
        <v>7</v>
      </c>
      <c r="D10" s="5"/>
      <c r="E10" s="5"/>
      <c r="F10" s="5"/>
    </row>
    <row r="11" spans="1:6" ht="15.5" x14ac:dyDescent="0.35">
      <c r="A11" s="5" t="s">
        <v>8</v>
      </c>
      <c r="B11" s="8">
        <v>13.08</v>
      </c>
      <c r="C11" s="5">
        <f t="shared" si="0"/>
        <v>8</v>
      </c>
      <c r="D11" s="6"/>
      <c r="E11" s="6"/>
      <c r="F11" s="6"/>
    </row>
    <row r="12" spans="1:6" ht="15.5" x14ac:dyDescent="0.35">
      <c r="A12" s="5" t="s">
        <v>9</v>
      </c>
      <c r="B12" s="8">
        <v>12.6</v>
      </c>
      <c r="C12" s="5">
        <f t="shared" si="0"/>
        <v>9</v>
      </c>
      <c r="D12" s="5"/>
      <c r="E12" s="5"/>
      <c r="F12" s="5"/>
    </row>
    <row r="13" spans="1:6" ht="15.5" x14ac:dyDescent="0.35">
      <c r="A13" s="5" t="s">
        <v>10</v>
      </c>
      <c r="B13" s="8">
        <v>12.16</v>
      </c>
      <c r="C13" s="5">
        <f t="shared" si="0"/>
        <v>10</v>
      </c>
      <c r="D13" s="5"/>
      <c r="E13" s="5"/>
      <c r="F13" s="5"/>
    </row>
    <row r="14" spans="1:6" ht="15.5" x14ac:dyDescent="0.35">
      <c r="A14" s="5" t="s">
        <v>11</v>
      </c>
      <c r="B14" s="8">
        <v>11.69</v>
      </c>
      <c r="C14" s="5">
        <f t="shared" si="0"/>
        <v>11</v>
      </c>
      <c r="D14" s="5"/>
      <c r="E14" s="5"/>
      <c r="F14" s="5"/>
    </row>
    <row r="15" spans="1:6" ht="15.5" x14ac:dyDescent="0.35">
      <c r="A15" s="5" t="s">
        <v>12</v>
      </c>
      <c r="B15" s="8">
        <v>11.51</v>
      </c>
      <c r="C15" s="5">
        <f t="shared" si="0"/>
        <v>12</v>
      </c>
      <c r="D15" s="5"/>
      <c r="E15" s="5"/>
      <c r="F15" s="5"/>
    </row>
    <row r="16" spans="1:6" ht="15.5" x14ac:dyDescent="0.35">
      <c r="A16" s="5" t="s">
        <v>13</v>
      </c>
      <c r="B16" s="8">
        <v>10.63</v>
      </c>
      <c r="C16" s="5">
        <f t="shared" si="0"/>
        <v>13</v>
      </c>
      <c r="D16" s="5"/>
      <c r="E16" s="5"/>
      <c r="F16" s="5"/>
    </row>
    <row r="17" spans="1:6" ht="15.5" x14ac:dyDescent="0.35">
      <c r="A17" s="5" t="s">
        <v>14</v>
      </c>
      <c r="B17" s="8">
        <v>10.5</v>
      </c>
      <c r="C17" s="5">
        <f t="shared" si="0"/>
        <v>14</v>
      </c>
      <c r="D17" s="5"/>
      <c r="E17" s="5"/>
      <c r="F17" s="5"/>
    </row>
    <row r="18" spans="1:6" ht="15.5" x14ac:dyDescent="0.35">
      <c r="A18" s="5" t="s">
        <v>15</v>
      </c>
      <c r="B18" s="8">
        <v>10.32</v>
      </c>
      <c r="C18" s="5">
        <f t="shared" si="0"/>
        <v>15</v>
      </c>
      <c r="D18" s="5"/>
      <c r="E18" s="5"/>
      <c r="F18" s="5"/>
    </row>
    <row r="19" spans="1:6" ht="15.5" x14ac:dyDescent="0.35">
      <c r="A19" s="5" t="s">
        <v>16</v>
      </c>
      <c r="B19" s="8">
        <v>10.17</v>
      </c>
      <c r="C19" s="5">
        <f t="shared" si="0"/>
        <v>16</v>
      </c>
      <c r="D19" s="5"/>
      <c r="E19" s="5"/>
      <c r="F19" s="5"/>
    </row>
    <row r="20" spans="1:6" ht="15.5" x14ac:dyDescent="0.35">
      <c r="A20" s="5" t="s">
        <v>17</v>
      </c>
      <c r="B20" s="8">
        <v>9.9499999999999993</v>
      </c>
      <c r="C20" s="5">
        <f t="shared" si="0"/>
        <v>17</v>
      </c>
      <c r="D20" s="5"/>
      <c r="E20" s="5"/>
      <c r="F20" s="5"/>
    </row>
    <row r="21" spans="1:6" ht="15.5" x14ac:dyDescent="0.35">
      <c r="A21" s="5" t="s">
        <v>18</v>
      </c>
      <c r="B21" s="8">
        <v>9.3699999999999992</v>
      </c>
      <c r="C21" s="5">
        <f t="shared" si="0"/>
        <v>18</v>
      </c>
      <c r="D21" s="5"/>
      <c r="E21" s="5"/>
      <c r="F21" s="5"/>
    </row>
    <row r="22" spans="1:6" ht="15.5" x14ac:dyDescent="0.35">
      <c r="A22" s="5" t="s">
        <v>19</v>
      </c>
      <c r="B22" s="8">
        <v>9.32</v>
      </c>
      <c r="C22" s="5">
        <f t="shared" si="0"/>
        <v>19</v>
      </c>
      <c r="D22" s="5"/>
      <c r="E22" s="5"/>
      <c r="F22" s="5"/>
    </row>
    <row r="23" spans="1:6" ht="15.5" x14ac:dyDescent="0.35">
      <c r="A23" s="5" t="s">
        <v>20</v>
      </c>
      <c r="B23" s="8">
        <v>9.11</v>
      </c>
      <c r="C23" s="5">
        <f t="shared" si="0"/>
        <v>20</v>
      </c>
      <c r="D23" s="5"/>
      <c r="E23" s="5"/>
      <c r="F23" s="5"/>
    </row>
    <row r="24" spans="1:6" ht="15.5" x14ac:dyDescent="0.35">
      <c r="A24" s="5" t="s">
        <v>21</v>
      </c>
      <c r="B24" s="8">
        <v>9.01</v>
      </c>
      <c r="C24" s="5">
        <f t="shared" si="0"/>
        <v>21</v>
      </c>
      <c r="D24" s="5"/>
      <c r="E24" s="5"/>
      <c r="F24" s="5"/>
    </row>
    <row r="25" spans="1:6" ht="15.5" x14ac:dyDescent="0.35">
      <c r="A25" s="5" t="s">
        <v>22</v>
      </c>
      <c r="B25" s="8">
        <v>8.98</v>
      </c>
      <c r="C25" s="5">
        <f t="shared" si="0"/>
        <v>22</v>
      </c>
      <c r="D25" s="5"/>
      <c r="E25" s="5"/>
      <c r="F25" s="5"/>
    </row>
    <row r="26" spans="1:6" ht="15.5" x14ac:dyDescent="0.35">
      <c r="A26" s="5" t="s">
        <v>23</v>
      </c>
      <c r="B26" s="8">
        <v>8.65</v>
      </c>
      <c r="C26" s="5">
        <f t="shared" si="0"/>
        <v>23</v>
      </c>
      <c r="D26" s="5"/>
      <c r="E26" s="5"/>
      <c r="F26" s="5"/>
    </row>
    <row r="27" spans="1:6" ht="15.5" x14ac:dyDescent="0.35">
      <c r="A27" s="5" t="s">
        <v>24</v>
      </c>
      <c r="B27" s="8">
        <v>8.6300000000000008</v>
      </c>
      <c r="C27" s="5">
        <f t="shared" si="0"/>
        <v>24</v>
      </c>
      <c r="D27" s="5"/>
      <c r="E27" s="5"/>
      <c r="F27" s="5"/>
    </row>
    <row r="28" spans="1:6" ht="15.5" x14ac:dyDescent="0.35">
      <c r="A28" s="5" t="s">
        <v>25</v>
      </c>
      <c r="B28" s="8">
        <v>8.6</v>
      </c>
      <c r="C28" s="5">
        <f t="shared" si="0"/>
        <v>25</v>
      </c>
      <c r="D28" s="5"/>
      <c r="E28" s="5"/>
      <c r="F28" s="5"/>
    </row>
    <row r="29" spans="1:6" ht="15.5" x14ac:dyDescent="0.35">
      <c r="A29" s="5" t="s">
        <v>26</v>
      </c>
      <c r="B29" s="8">
        <v>8.16</v>
      </c>
      <c r="C29" s="5">
        <f t="shared" si="0"/>
        <v>26</v>
      </c>
      <c r="D29" s="5"/>
      <c r="E29" s="5"/>
      <c r="F29" s="5"/>
    </row>
    <row r="30" spans="1:6" ht="15.5" x14ac:dyDescent="0.35">
      <c r="A30" s="5" t="s">
        <v>26</v>
      </c>
      <c r="B30" s="8">
        <v>6.75</v>
      </c>
      <c r="C30" s="5">
        <f t="shared" si="0"/>
        <v>27</v>
      </c>
      <c r="D30" s="5"/>
      <c r="E30" s="5"/>
      <c r="F30" s="5"/>
    </row>
    <row r="31" spans="1:6" ht="15.5" x14ac:dyDescent="0.35">
      <c r="A31" s="5" t="s">
        <v>27</v>
      </c>
      <c r="B31" s="8">
        <v>6.54</v>
      </c>
      <c r="C31" s="5">
        <f t="shared" si="0"/>
        <v>28</v>
      </c>
      <c r="D31" s="5"/>
      <c r="E31" s="5"/>
      <c r="F31" s="5"/>
    </row>
    <row r="32" spans="1:6" ht="15.5" x14ac:dyDescent="0.35">
      <c r="A32" s="5" t="s">
        <v>17</v>
      </c>
      <c r="B32" s="8">
        <v>6.51</v>
      </c>
      <c r="C32" s="5">
        <f t="shared" si="0"/>
        <v>29</v>
      </c>
      <c r="D32" s="5"/>
      <c r="E32" s="5"/>
      <c r="F32" s="5"/>
    </row>
    <row r="33" spans="1:6" ht="15.5" x14ac:dyDescent="0.35">
      <c r="A33" s="5" t="s">
        <v>28</v>
      </c>
      <c r="B33" s="8">
        <v>6.32</v>
      </c>
      <c r="C33" s="5">
        <f t="shared" si="0"/>
        <v>30</v>
      </c>
      <c r="D33" s="5"/>
      <c r="E33" s="5"/>
      <c r="F33" s="5"/>
    </row>
    <row r="34" spans="1:6" ht="15.5" x14ac:dyDescent="0.35">
      <c r="A34" s="5" t="s">
        <v>29</v>
      </c>
      <c r="B34" s="8">
        <v>6.28</v>
      </c>
      <c r="C34" s="5">
        <f t="shared" si="0"/>
        <v>31</v>
      </c>
      <c r="D34" s="5"/>
      <c r="E34" s="5"/>
      <c r="F34" s="5"/>
    </row>
    <row r="35" spans="1:6" ht="15.5" x14ac:dyDescent="0.35">
      <c r="A35" s="5" t="s">
        <v>4</v>
      </c>
      <c r="B35" s="8">
        <v>6.18</v>
      </c>
      <c r="C35" s="5">
        <f t="shared" si="0"/>
        <v>32</v>
      </c>
      <c r="D35" s="5"/>
      <c r="E35" s="5"/>
      <c r="F35" s="5"/>
    </row>
    <row r="36" spans="1:6" ht="15.5" x14ac:dyDescent="0.35">
      <c r="A36" s="5" t="s">
        <v>18</v>
      </c>
      <c r="B36" s="8">
        <v>5.57</v>
      </c>
      <c r="C36" s="5">
        <f t="shared" si="0"/>
        <v>33</v>
      </c>
      <c r="D36" s="5"/>
      <c r="E36" s="5"/>
      <c r="F36" s="5"/>
    </row>
    <row r="37" spans="1:6" ht="15.5" x14ac:dyDescent="0.35">
      <c r="A37" s="5" t="s">
        <v>30</v>
      </c>
      <c r="B37" s="8">
        <v>4.53</v>
      </c>
      <c r="C37" s="5">
        <f t="shared" si="0"/>
        <v>34</v>
      </c>
      <c r="D37" s="5"/>
      <c r="E37" s="5"/>
      <c r="F37" s="5"/>
    </row>
    <row r="38" spans="1:6" ht="15.5" x14ac:dyDescent="0.35">
      <c r="A38" s="5" t="s">
        <v>13</v>
      </c>
      <c r="B38" s="8">
        <v>4.38</v>
      </c>
      <c r="C38" s="5">
        <f t="shared" si="0"/>
        <v>35</v>
      </c>
      <c r="D38" s="5"/>
      <c r="E38" s="5"/>
      <c r="F38" s="5"/>
    </row>
    <row r="39" spans="1:6" ht="15.5" x14ac:dyDescent="0.35">
      <c r="A39" s="5" t="s">
        <v>31</v>
      </c>
      <c r="B39" s="8">
        <v>3.96</v>
      </c>
      <c r="C39" s="5">
        <f t="shared" si="0"/>
        <v>36</v>
      </c>
      <c r="D39" s="5"/>
      <c r="E39" s="5"/>
      <c r="F39" s="5"/>
    </row>
    <row r="40" spans="1:6" ht="15.5" x14ac:dyDescent="0.35">
      <c r="A40" s="5" t="s">
        <v>22</v>
      </c>
      <c r="B40" s="8">
        <v>3.91</v>
      </c>
      <c r="C40" s="5">
        <f t="shared" si="0"/>
        <v>37</v>
      </c>
      <c r="D40" s="5"/>
      <c r="E40" s="5"/>
      <c r="F40" s="5"/>
    </row>
    <row r="41" spans="1:6" ht="15.5" x14ac:dyDescent="0.35">
      <c r="A41" s="5" t="s">
        <v>32</v>
      </c>
      <c r="B41" s="8">
        <v>3.06</v>
      </c>
      <c r="C41" s="5">
        <f t="shared" si="0"/>
        <v>38</v>
      </c>
      <c r="D41" s="5"/>
      <c r="E41" s="5"/>
      <c r="F41" s="5"/>
    </row>
    <row r="43" spans="1:6" ht="30.5" x14ac:dyDescent="0.35">
      <c r="A43" s="9" t="s">
        <v>33</v>
      </c>
      <c r="B43" s="10" t="s">
        <v>34</v>
      </c>
      <c r="C43" s="11" t="s">
        <v>35</v>
      </c>
    </row>
    <row r="44" spans="1:6" ht="15.5" x14ac:dyDescent="0.35">
      <c r="A44" s="5" t="s">
        <v>30</v>
      </c>
      <c r="B44" s="8">
        <v>4.53</v>
      </c>
      <c r="C44" s="5">
        <f>RANK(B44,$B$4:$B$41,0)</f>
        <v>34</v>
      </c>
    </row>
    <row r="45" spans="1:6" ht="15.5" x14ac:dyDescent="0.35">
      <c r="A45" s="5" t="s">
        <v>13</v>
      </c>
      <c r="B45" s="8">
        <v>4.38</v>
      </c>
      <c r="C45" s="5">
        <f>RANK(B45,$B$4:$B$41,0)</f>
        <v>35</v>
      </c>
    </row>
    <row r="46" spans="1:6" ht="15.5" x14ac:dyDescent="0.35">
      <c r="A46" s="5" t="s">
        <v>31</v>
      </c>
      <c r="B46" s="8">
        <v>3.96</v>
      </c>
      <c r="C46" s="5">
        <f>RANK(B46,$B$4:$B$41,0)</f>
        <v>36</v>
      </c>
    </row>
    <row r="47" spans="1:6" ht="15.5" x14ac:dyDescent="0.35">
      <c r="A47" s="5" t="s">
        <v>22</v>
      </c>
      <c r="B47" s="8">
        <v>3.91</v>
      </c>
      <c r="C47" s="5">
        <f>RANK(B47,$B$4:$B$41,0)</f>
        <v>37</v>
      </c>
    </row>
    <row r="48" spans="1:6" ht="15.5" x14ac:dyDescent="0.35">
      <c r="A48" s="5" t="s">
        <v>32</v>
      </c>
      <c r="B48" s="8">
        <v>3.06</v>
      </c>
      <c r="C48" s="5">
        <f>RANK(B48,$B$4:$B$41,0)</f>
        <v>38</v>
      </c>
    </row>
  </sheetData>
  <sortState xmlns:xlrd2="http://schemas.microsoft.com/office/spreadsheetml/2017/richdata2" ref="A44:C48">
    <sortCondition ref="C44:C4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2026-05-22T06:59:42Z</dcterms:created>
  <dcterms:modified xsi:type="dcterms:W3CDTF">2026-05-27T02:29:27Z</dcterms:modified>
</cp:coreProperties>
</file>